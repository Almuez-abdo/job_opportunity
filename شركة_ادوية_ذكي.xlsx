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nnections.xml" ContentType="application/vnd.openxmlformats-officedocument.spreadsheetml.connection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5525" windowHeight="9390" activeTab="1"/>
  </bookViews>
  <sheets>
    <sheet name="الاساسي" sheetId="1" r:id="rId1"/>
    <sheet name="التحديث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>
  <connection id="1" name="Query - TBL_الاساسي" description="Connection to the 'TBL_الاساسي' query in the workbook." type="5" background="1" refreshedVersion="2" saveData="1">
    <dbPr connection="Provider=Microsoft.Mashup.OleDb.1;Data Source=$Workbook$;Location=TBL_الاساسي" command="SELECT * FROM [TBL_الاساسي]" commandType="2"/>
  </connection>
  <connection id="2" name="Query - TBL_التحديث" description="Connection to the 'TBL_التحديث' query in the workbook." type="5" background="1" refreshedVersion="2" saveData="1">
    <dbPr connection="Provider=Microsoft.Mashup.OleDb.1;Data Source=$Workbook$;Location=TBL_التحديث" command="SELECT * FROM [TBL_التحديث]" commandType="2"/>
  </connection>
</connections>
</file>

<file path=xl/sharedStrings.xml><?xml version="1.0" encoding="utf-8"?>
<sst xmlns="http://schemas.openxmlformats.org/spreadsheetml/2006/main" count="120" uniqueCount="49">
  <si>
    <t>كود الصنف</t>
  </si>
  <si>
    <t>اسم الدواء</t>
  </si>
  <si>
    <t>الشركة المصنعة</t>
  </si>
  <si>
    <t>الفئة العلاجية</t>
  </si>
  <si>
    <t>تاريخ الانتهاء</t>
  </si>
  <si>
    <t>الكمية المتاحة</t>
  </si>
  <si>
    <t>سعر الشراء</t>
  </si>
  <si>
    <t>سعر البيع</t>
  </si>
  <si>
    <t>المورد</t>
  </si>
  <si>
    <t>حالة المخزون</t>
  </si>
  <si>
    <t>MED-1001</t>
  </si>
  <si>
    <t>Amoxicillin 500mg</t>
  </si>
  <si>
    <t>Pfizer</t>
  </si>
  <si>
    <t>مضاد حيوي</t>
  </si>
  <si>
    <t>شركة النور</t>
  </si>
  <si>
    <t>MED-1002</t>
  </si>
  <si>
    <t>Paracetamol 500mg</t>
  </si>
  <si>
    <t>GSK</t>
  </si>
  <si>
    <t>مسكن</t>
  </si>
  <si>
    <t>شركة الأمل</t>
  </si>
  <si>
    <t>MED-1003</t>
  </si>
  <si>
    <t>Omeprazole 20mg</t>
  </si>
  <si>
    <t>AstraZeneca</t>
  </si>
  <si>
    <t>معدة</t>
  </si>
  <si>
    <t>شركة الشفاء</t>
  </si>
  <si>
    <t>MED-1004</t>
  </si>
  <si>
    <t>Metformin 500mg</t>
  </si>
  <si>
    <t>Novartis</t>
  </si>
  <si>
    <t>سكري</t>
  </si>
  <si>
    <t>MED-1005</t>
  </si>
  <si>
    <t>Atorvastatin 10mg</t>
  </si>
  <si>
    <t>قلب</t>
  </si>
  <si>
    <t>MED-1006</t>
  </si>
  <si>
    <t>Ibuprofen 400mg</t>
  </si>
  <si>
    <t>Bayer</t>
  </si>
  <si>
    <t>MED-1007</t>
  </si>
  <si>
    <t>Lisinopril 10mg</t>
  </si>
  <si>
    <t>Merck</t>
  </si>
  <si>
    <t>ضغط</t>
  </si>
  <si>
    <t>MED-1008</t>
  </si>
  <si>
    <t>Azithromycin 250mg</t>
  </si>
  <si>
    <t>MED-1009</t>
  </si>
  <si>
    <t>Vitamin D3 1000IU</t>
  </si>
  <si>
    <t>فيتامين</t>
  </si>
  <si>
    <t>MED-1010</t>
  </si>
  <si>
    <t>Cetirizine 10mg</t>
  </si>
  <si>
    <t>حساسية</t>
  </si>
  <si>
    <t>MED-1011</t>
  </si>
  <si>
    <t>Losartan 50mg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</si>
</sst>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26" formatCode="General"/>
    <numFmt numFmtId="176" formatCode="_-* #,##0.00_-;\-* #,##0.00_-;_-* &quot;-&quot;??_-;_-@_-"/>
    <numFmt numFmtId="177" formatCode="_ &quot;ر.س.&quot;* #,##0.00_ ;_ &quot;ر.س.&quot;* \-#,##0.00_ ;_ &quot;ر.س.&quot;* &quot;-&quot;??_ ;_ @_ "/>
    <numFmt numFmtId="178" formatCode="_-* #,##0_-;\-* #,##0_-;_-* &quot;-&quot;_-;_-@_-"/>
    <numFmt numFmtId="179" formatCode="_ &quot;ر.س.&quot;* #,##0_ ;_ &quot;ر.س.&quot;* \-#,##0_ ;_ &quot;ر.س.&quot;* &quot;-&quot;_ ;_ @_ "/>
  </numFmts>
  <fonts count="21">
    <font>
      <sz val="11"/>
      <color theme="1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4444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26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26" fontId="2" fillId="0" borderId="0" applyNumberFormat="0" applyFill="0" applyBorder="0" applyAlignment="0" applyProtection="0">
      <alignment vertical="center"/>
    </xf>
    <xf numFmtId="26" fontId="3" fillId="0" borderId="0" applyNumberFormat="0" applyFill="0" applyBorder="0" applyAlignment="0" applyProtection="0">
      <alignment vertical="center"/>
    </xf>
    <xf numFmtId="26" fontId="0" fillId="3" borderId="1" applyNumberFormat="0" applyFont="0" applyAlignment="0" applyProtection="0">
      <alignment vertical="center"/>
    </xf>
    <xf numFmtId="26" fontId="4" fillId="0" borderId="0" applyNumberFormat="0" applyFill="0" applyBorder="0" applyAlignment="0" applyProtection="0">
      <alignment vertical="center"/>
    </xf>
    <xf numFmtId="26" fontId="5" fillId="0" borderId="0" applyNumberFormat="0" applyFill="0" applyBorder="0" applyAlignment="0" applyProtection="0">
      <alignment vertical="center"/>
    </xf>
    <xf numFmtId="26" fontId="6" fillId="0" borderId="0" applyNumberFormat="0" applyFill="0" applyBorder="0" applyAlignment="0" applyProtection="0">
      <alignment vertical="center"/>
    </xf>
    <xf numFmtId="26" fontId="7" fillId="0" borderId="2" applyNumberFormat="0" applyFill="0" applyAlignment="0" applyProtection="0">
      <alignment vertical="center"/>
    </xf>
    <xf numFmtId="26" fontId="8" fillId="0" borderId="2" applyNumberFormat="0" applyFill="0" applyAlignment="0" applyProtection="0">
      <alignment vertical="center"/>
    </xf>
    <xf numFmtId="26" fontId="9" fillId="0" borderId="3" applyNumberFormat="0" applyFill="0" applyAlignment="0" applyProtection="0">
      <alignment vertical="center"/>
    </xf>
    <xf numFmtId="26" fontId="9" fillId="0" borderId="0" applyNumberFormat="0" applyFill="0" applyBorder="0" applyAlignment="0" applyProtection="0">
      <alignment vertical="center"/>
    </xf>
    <xf numFmtId="26" fontId="10" fillId="4" borderId="4" applyNumberFormat="0" applyAlignment="0" applyProtection="0">
      <alignment vertical="center"/>
    </xf>
    <xf numFmtId="26" fontId="11" fillId="5" borderId="5" applyNumberFormat="0" applyAlignment="0" applyProtection="0">
      <alignment vertical="center"/>
    </xf>
    <xf numFmtId="26" fontId="12" fillId="5" borderId="4" applyNumberFormat="0" applyAlignment="0" applyProtection="0">
      <alignment vertical="center"/>
    </xf>
    <xf numFmtId="26" fontId="13" fillId="6" borderId="6" applyNumberFormat="0" applyAlignment="0" applyProtection="0">
      <alignment vertical="center"/>
    </xf>
    <xf numFmtId="26" fontId="14" fillId="0" borderId="7" applyNumberFormat="0" applyFill="0" applyAlignment="0" applyProtection="0">
      <alignment vertical="center"/>
    </xf>
    <xf numFmtId="26" fontId="15" fillId="0" borderId="8" applyNumberFormat="0" applyFill="0" applyAlignment="0" applyProtection="0">
      <alignment vertical="center"/>
    </xf>
    <xf numFmtId="26" fontId="16" fillId="7" borderId="0" applyNumberFormat="0" applyBorder="0" applyAlignment="0" applyProtection="0">
      <alignment vertical="center"/>
    </xf>
    <xf numFmtId="26" fontId="17" fillId="8" borderId="0" applyNumberFormat="0" applyBorder="0" applyAlignment="0" applyProtection="0">
      <alignment vertical="center"/>
    </xf>
    <xf numFmtId="26" fontId="18" fillId="9" borderId="0" applyNumberFormat="0" applyBorder="0" applyAlignment="0" applyProtection="0">
      <alignment vertical="center"/>
    </xf>
    <xf numFmtId="26" fontId="19" fillId="10" borderId="0" applyNumberFormat="0" applyBorder="0" applyAlignment="0" applyProtection="0">
      <alignment vertical="center"/>
    </xf>
    <xf numFmtId="26" fontId="20" fillId="11" borderId="0" applyNumberFormat="0" applyBorder="0" applyAlignment="0" applyProtection="0">
      <alignment vertical="center"/>
    </xf>
    <xf numFmtId="26" fontId="20" fillId="12" borderId="0" applyNumberFormat="0" applyBorder="0" applyAlignment="0" applyProtection="0">
      <alignment vertical="center"/>
    </xf>
    <xf numFmtId="26" fontId="19" fillId="13" borderId="0" applyNumberFormat="0" applyBorder="0" applyAlignment="0" applyProtection="0">
      <alignment vertical="center"/>
    </xf>
    <xf numFmtId="26" fontId="19" fillId="14" borderId="0" applyNumberFormat="0" applyBorder="0" applyAlignment="0" applyProtection="0">
      <alignment vertical="center"/>
    </xf>
    <xf numFmtId="26" fontId="20" fillId="15" borderId="0" applyNumberFormat="0" applyBorder="0" applyAlignment="0" applyProtection="0">
      <alignment vertical="center"/>
    </xf>
    <xf numFmtId="26" fontId="20" fillId="16" borderId="0" applyNumberFormat="0" applyBorder="0" applyAlignment="0" applyProtection="0">
      <alignment vertical="center"/>
    </xf>
    <xf numFmtId="26" fontId="19" fillId="17" borderId="0" applyNumberFormat="0" applyBorder="0" applyAlignment="0" applyProtection="0">
      <alignment vertical="center"/>
    </xf>
    <xf numFmtId="26" fontId="19" fillId="18" borderId="0" applyNumberFormat="0" applyBorder="0" applyAlignment="0" applyProtection="0">
      <alignment vertical="center"/>
    </xf>
    <xf numFmtId="26" fontId="20" fillId="19" borderId="0" applyNumberFormat="0" applyBorder="0" applyAlignment="0" applyProtection="0">
      <alignment vertical="center"/>
    </xf>
    <xf numFmtId="26" fontId="20" fillId="20" borderId="0" applyNumberFormat="0" applyBorder="0" applyAlignment="0" applyProtection="0">
      <alignment vertical="center"/>
    </xf>
    <xf numFmtId="26" fontId="19" fillId="21" borderId="0" applyNumberFormat="0" applyBorder="0" applyAlignment="0" applyProtection="0">
      <alignment vertical="center"/>
    </xf>
    <xf numFmtId="26" fontId="19" fillId="22" borderId="0" applyNumberFormat="0" applyBorder="0" applyAlignment="0" applyProtection="0">
      <alignment vertical="center"/>
    </xf>
    <xf numFmtId="26" fontId="20" fillId="23" borderId="0" applyNumberFormat="0" applyBorder="0" applyAlignment="0" applyProtection="0">
      <alignment vertical="center"/>
    </xf>
    <xf numFmtId="26" fontId="20" fillId="24" borderId="0" applyNumberFormat="0" applyBorder="0" applyAlignment="0" applyProtection="0">
      <alignment vertical="center"/>
    </xf>
    <xf numFmtId="26" fontId="19" fillId="25" borderId="0" applyNumberFormat="0" applyBorder="0" applyAlignment="0" applyProtection="0">
      <alignment vertical="center"/>
    </xf>
    <xf numFmtId="26" fontId="19" fillId="26" borderId="0" applyNumberFormat="0" applyBorder="0" applyAlignment="0" applyProtection="0">
      <alignment vertical="center"/>
    </xf>
    <xf numFmtId="26" fontId="20" fillId="27" borderId="0" applyNumberFormat="0" applyBorder="0" applyAlignment="0" applyProtection="0">
      <alignment vertical="center"/>
    </xf>
    <xf numFmtId="26" fontId="20" fillId="28" borderId="0" applyNumberFormat="0" applyBorder="0" applyAlignment="0" applyProtection="0">
      <alignment vertical="center"/>
    </xf>
    <xf numFmtId="26" fontId="19" fillId="29" borderId="0" applyNumberFormat="0" applyBorder="0" applyAlignment="0" applyProtection="0">
      <alignment vertical="center"/>
    </xf>
    <xf numFmtId="26" fontId="19" fillId="30" borderId="0" applyNumberFormat="0" applyBorder="0" applyAlignment="0" applyProtection="0">
      <alignment vertical="center"/>
    </xf>
    <xf numFmtId="26" fontId="20" fillId="31" borderId="0" applyNumberFormat="0" applyBorder="0" applyAlignment="0" applyProtection="0">
      <alignment vertical="center"/>
    </xf>
    <xf numFmtId="26" fontId="20" fillId="32" borderId="0" applyNumberFormat="0" applyBorder="0" applyAlignment="0" applyProtection="0">
      <alignment vertical="center"/>
    </xf>
    <xf numFmtId="26" fontId="19" fillId="33" borderId="0" applyNumberFormat="0" applyBorder="0" applyAlignment="0" applyProtection="0">
      <alignment vertical="center"/>
    </xf>
  </cellStyleXfs>
  <cellXfs count="4">
    <xf numFmtId="26" fontId="0" fillId="0" borderId="0" xfId="0">
      <alignment vertical="center"/>
    </xf>
    <xf numFmtId="26" fontId="1" fillId="2" borderId="0" xfId="0" applyFont="1" applyFill="1">
      <alignment vertical="center"/>
    </xf>
    <xf numFmtId="58" fontId="0" fillId="0" borderId="0" xfId="0" applyNumberFormat="1">
      <alignment vertical="center"/>
    </xf>
    <xf numFmtId="26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21">
    <dxf>
      <numFmt numFmtId="58" formatCode="dd/mm/yy"/>
    </dxf>
    <dxf>
      <numFmt numFmtId="26" formatCode="General"/>
    </dxf>
    <dxf>
      <numFmt numFmtId="58" formatCode="dd/mm/yy"/>
    </dxf>
    <dxf>
      <numFmt numFmtId="26" formatCode="General"/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0"/>
      <tableStyleElement type="headerRow" dxfId="9"/>
      <tableStyleElement type="totalRow" dxfId="8"/>
      <tableStyleElement type="firstColumn" dxfId="7"/>
      <tableStyleElement type="lastColumn" dxfId="6"/>
      <tableStyleElement type="firstRowStripe" dxfId="5"/>
      <tableStyleElement type="firstColumnStripe" dxfId="4"/>
    </tableStyle>
    <tableStyle name="PivotStylePreset2_Accent1" table="0" count="10" xr9:uid="{267968C8-6FFD-4C36-ACC1-9EA1FD1885CA}">
      <tableStyleElement type="headerRow" dxfId="20"/>
      <tableStyleElement type="totalRow" dxfId="19"/>
      <tableStyleElement type="firstRowStripe" dxfId="18"/>
      <tableStyleElement type="firstColumnStripe" dxfId="17"/>
      <tableStyleElement type="firstSubtotalRow" dxfId="16"/>
      <tableStyleElement type="secondSubtotalRow" dxfId="15"/>
      <tableStyleElement type="firstRowSubheading" dxfId="14"/>
      <tableStyleElement type="secondRowSubheading" dxfId="13"/>
      <tableStyleElement type="pageFieldLabels" dxfId="12"/>
      <tableStyleElement type="pageFieldValues" dxfId="11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customXml" Target="../customXml/item1.xml"/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TBL_الاساسي" displayName="TBL_الاساسي" ref="A1:J11" totalsRowShown="0">
  <autoFilter xmlns:etc="http://www.wps.cn/officeDocument/2017/etCustomData" ref="A1:J11" etc:filterBottomFollowUsedRange="0"/>
  <tableColumns count="10">
    <tableColumn id="1" name="كود الصنف"/>
    <tableColumn id="2" name="اسم الدواء"/>
    <tableColumn id="3" name="الشركة المصنعة"/>
    <tableColumn id="4" name="الفئة العلاجية"/>
    <tableColumn id="5" name="تاريخ الانتهاء" dataDxfId="0"/>
    <tableColumn id="6" name="الكمية المتاحة"/>
    <tableColumn id="7" name="سعر الشراء"/>
    <tableColumn id="8" name="سعر البيع"/>
    <tableColumn id="9" name="المورد"/>
    <tableColumn id="10" name="حالة المخزون" dataDxfId="1">
      <calculatedColumnFormula>IF(INDIRECT("F"&amp;ROW())=0;"Empty";IF(INDIRECT("F"&amp;ROW())&lt;=150;"Low";"InStock"))</calculatedColumnFormula>
    </tableColumn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BL_التحديث" displayName="TBL_التحديث" ref="A1:J11" totalsRowShown="0">
  <autoFilter xmlns:etc="http://www.wps.cn/officeDocument/2017/etCustomData" ref="A1:J11" etc:filterBottomFollowUsedRange="0"/>
  <tableColumns count="10">
    <tableColumn id="1" name="كود الصنف"/>
    <tableColumn id="2" name="اسم الدواء"/>
    <tableColumn id="3" name="الشركة المصنعة"/>
    <tableColumn id="4" name="الفئة العلاجية"/>
    <tableColumn id="5" name="تاريخ الانتهاء" dataDxfId="2"/>
    <tableColumn id="6" name="الكمية المتاحة"/>
    <tableColumn id="7" name="سعر الشراء"/>
    <tableColumn id="8" name="سعر البيع"/>
    <tableColumn id="9" name="المورد"/>
    <tableColumn id="10" name="حالة المخزون" dataDxfId="3">
      <calculatedColumnFormula>IF(INDIRECT("F"&amp;ROW())=0;"Empty";IF(INDIRECT("F"&amp;ROW())&lt;=150;"Low";"InStock"))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1"/>
  <sheetViews>
    <sheetView rightToLeft="1" workbookViewId="0">
      <selection activeCell="I9" sqref="I9"/>
    </sheetView>
  </sheetViews>
  <sheetFormatPr defaultColWidth="9.14285714285714" defaultRowHeight="15"/>
  <cols>
    <col min="1" max="1" width="10.2857142857143" customWidth="1"/>
    <col min="2" max="2" width="20.5714285714286" customWidth="1"/>
    <col min="3" max="3" width="13" customWidth="1"/>
    <col min="4" max="4" width="11.1428571428571" customWidth="1"/>
    <col min="5" max="5" width="10.8571428571429" customWidth="1"/>
    <col min="6" max="6" width="11.2857142857143" customWidth="1"/>
    <col min="7" max="7" width="9.42857142857143" customWidth="1"/>
    <col min="8" max="8" width="8.28571428571429" customWidth="1"/>
    <col min="9" max="9" width="10.4285714285714" customWidth="1"/>
    <col min="10" max="10" width="11.3619047619048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s="2">
        <v>46249</v>
      </c>
      <c r="F2">
        <v>150</v>
      </c>
      <c r="G2">
        <v>12.5</v>
      </c>
      <c r="H2">
        <v>15</v>
      </c>
      <c r="I2" t="s">
        <v>14</v>
      </c>
      <c r="J2" s="3" t="str">
        <f ca="1" t="shared" ref="J2:J11" si="0">IF(INDIRECT("F"&amp;ROW())=0;"Empty";IF(INDIRECT("F"&amp;ROW())&lt;=150;"Low";"InStock"))</f>
        <v>Low</v>
      </c>
    </row>
    <row r="3" spans="1:10">
      <c r="A3" t="s">
        <v>15</v>
      </c>
      <c r="B3" t="s">
        <v>16</v>
      </c>
      <c r="C3" t="s">
        <v>17</v>
      </c>
      <c r="D3" t="s">
        <v>18</v>
      </c>
      <c r="E3" s="2">
        <v>46021</v>
      </c>
      <c r="F3">
        <v>300</v>
      </c>
      <c r="G3">
        <v>3.2</v>
      </c>
      <c r="H3">
        <v>4.5</v>
      </c>
      <c r="I3" t="s">
        <v>19</v>
      </c>
      <c r="J3" t="str">
        <f ca="1" t="shared" si="0"/>
        <v>InStock</v>
      </c>
    </row>
    <row r="4" spans="1:10">
      <c r="A4" t="s">
        <v>20</v>
      </c>
      <c r="B4" t="s">
        <v>21</v>
      </c>
      <c r="C4" t="s">
        <v>22</v>
      </c>
      <c r="D4" t="s">
        <v>23</v>
      </c>
      <c r="E4" s="2">
        <v>46091</v>
      </c>
      <c r="F4">
        <v>80</v>
      </c>
      <c r="G4">
        <v>8</v>
      </c>
      <c r="H4">
        <v>11</v>
      </c>
      <c r="I4" t="s">
        <v>24</v>
      </c>
      <c r="J4" t="str">
        <f ca="1" t="shared" si="0"/>
        <v>Low</v>
      </c>
    </row>
    <row r="5" spans="1:10">
      <c r="A5" t="s">
        <v>25</v>
      </c>
      <c r="B5" t="s">
        <v>26</v>
      </c>
      <c r="C5" t="s">
        <v>27</v>
      </c>
      <c r="D5" t="s">
        <v>28</v>
      </c>
      <c r="E5" s="2">
        <v>45981</v>
      </c>
      <c r="F5">
        <v>200</v>
      </c>
      <c r="G5">
        <v>6.5</v>
      </c>
      <c r="H5">
        <v>9</v>
      </c>
      <c r="I5" t="s">
        <v>14</v>
      </c>
      <c r="J5" t="str">
        <f ca="1" t="shared" si="0"/>
        <v>InStock</v>
      </c>
    </row>
    <row r="6" spans="1:10">
      <c r="A6" t="s">
        <v>29</v>
      </c>
      <c r="B6" t="s">
        <v>30</v>
      </c>
      <c r="C6" t="s">
        <v>12</v>
      </c>
      <c r="D6" t="s">
        <v>31</v>
      </c>
      <c r="E6" s="2">
        <v>46027</v>
      </c>
      <c r="F6">
        <v>0</v>
      </c>
      <c r="G6">
        <v>14</v>
      </c>
      <c r="H6">
        <v>18.5</v>
      </c>
      <c r="I6" t="s">
        <v>19</v>
      </c>
      <c r="J6" t="str">
        <f ca="1" t="shared" si="0"/>
        <v>Empty</v>
      </c>
    </row>
    <row r="7" spans="1:10">
      <c r="A7" t="s">
        <v>32</v>
      </c>
      <c r="B7" t="s">
        <v>33</v>
      </c>
      <c r="C7" t="s">
        <v>34</v>
      </c>
      <c r="D7" t="s">
        <v>18</v>
      </c>
      <c r="E7" s="2">
        <v>46191</v>
      </c>
      <c r="F7">
        <v>120</v>
      </c>
      <c r="G7">
        <v>4</v>
      </c>
      <c r="H7">
        <v>6</v>
      </c>
      <c r="I7" t="s">
        <v>24</v>
      </c>
      <c r="J7" t="str">
        <f ca="1" t="shared" si="0"/>
        <v>Low</v>
      </c>
    </row>
    <row r="8" spans="1:10">
      <c r="A8" t="s">
        <v>35</v>
      </c>
      <c r="B8" t="s">
        <v>36</v>
      </c>
      <c r="C8" t="s">
        <v>37</v>
      </c>
      <c r="D8" t="s">
        <v>38</v>
      </c>
      <c r="E8" s="2">
        <v>45912</v>
      </c>
      <c r="F8">
        <v>90</v>
      </c>
      <c r="G8">
        <v>9.5</v>
      </c>
      <c r="H8">
        <v>12.5</v>
      </c>
      <c r="I8" t="s">
        <v>14</v>
      </c>
      <c r="J8" t="str">
        <f ca="1" t="shared" si="0"/>
        <v>Low</v>
      </c>
    </row>
    <row r="9" spans="1:10">
      <c r="A9" t="s">
        <v>39</v>
      </c>
      <c r="B9" t="s">
        <v>40</v>
      </c>
      <c r="C9" t="s">
        <v>12</v>
      </c>
      <c r="D9" t="s">
        <v>13</v>
      </c>
      <c r="E9" s="2">
        <v>46081</v>
      </c>
      <c r="F9">
        <v>600</v>
      </c>
      <c r="G9">
        <v>11</v>
      </c>
      <c r="H9">
        <v>14</v>
      </c>
      <c r="I9" t="s">
        <v>19</v>
      </c>
      <c r="J9" t="str">
        <f ca="1" t="shared" si="0"/>
        <v>InStock</v>
      </c>
    </row>
    <row r="10" spans="1:10">
      <c r="A10" t="s">
        <v>41</v>
      </c>
      <c r="B10" t="s">
        <v>42</v>
      </c>
      <c r="C10" t="s">
        <v>17</v>
      </c>
      <c r="D10" t="s">
        <v>43</v>
      </c>
      <c r="E10" s="2">
        <v>46225</v>
      </c>
      <c r="F10">
        <v>250</v>
      </c>
      <c r="G10">
        <v>5.5</v>
      </c>
      <c r="H10">
        <v>7.5</v>
      </c>
      <c r="I10" t="s">
        <v>24</v>
      </c>
      <c r="J10" t="str">
        <f ca="1" t="shared" si="0"/>
        <v>InStock</v>
      </c>
    </row>
    <row r="11" spans="1:10">
      <c r="A11" t="s">
        <v>44</v>
      </c>
      <c r="B11" t="s">
        <v>45</v>
      </c>
      <c r="C11" t="s">
        <v>27</v>
      </c>
      <c r="D11" t="s">
        <v>46</v>
      </c>
      <c r="E11" s="2">
        <v>45945</v>
      </c>
      <c r="F11">
        <v>180</v>
      </c>
      <c r="G11">
        <v>3.8</v>
      </c>
      <c r="H11">
        <v>5.2</v>
      </c>
      <c r="I11" t="s">
        <v>14</v>
      </c>
      <c r="J11" t="str">
        <f ca="1" t="shared" si="0"/>
        <v>InStock</v>
      </c>
    </row>
  </sheetData>
  <pageMargins left="0.75" right="0.75" top="1" bottom="1" header="0.5" footer="0.5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1"/>
  <sheetViews>
    <sheetView tabSelected="1" rightToLeft="1" topLeftCell="B1" workbookViewId="0">
      <selection activeCell="F8" sqref="F8"/>
    </sheetView>
  </sheetViews>
  <sheetFormatPr defaultColWidth="9.14285714285714" defaultRowHeight="15"/>
  <cols>
    <col min="1" max="1" width="12" customWidth="1"/>
    <col min="2" max="2" width="19.1428571428571" customWidth="1"/>
    <col min="3" max="3" width="15" customWidth="1"/>
    <col min="4" max="4" width="13.7142857142857" customWidth="1"/>
    <col min="5" max="5" width="12.8571428571429" customWidth="1"/>
    <col min="6" max="6" width="13.8571428571429" customWidth="1"/>
    <col min="7" max="7" width="11.4285714285714" customWidth="1"/>
    <col min="8" max="8" width="10.5714285714286" customWidth="1"/>
    <col min="9" max="9" width="9.57142857142857" customWidth="1"/>
    <col min="10" max="10" width="11.3619047619048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s="2">
        <v>46249</v>
      </c>
      <c r="F2">
        <v>145</v>
      </c>
      <c r="G2">
        <v>12.5</v>
      </c>
      <c r="H2">
        <v>15</v>
      </c>
      <c r="I2" t="s">
        <v>14</v>
      </c>
      <c r="J2" s="3" t="str">
        <f ca="1" t="shared" ref="J2:J11" si="0">IF(INDIRECT("F"&amp;ROW())=0;"Empty";IF(INDIRECT("F"&amp;ROW())&lt;=150;"Low";"InStock"))</f>
        <v>Low</v>
      </c>
    </row>
    <row r="3" spans="1:10">
      <c r="A3" t="s">
        <v>15</v>
      </c>
      <c r="B3" t="s">
        <v>16</v>
      </c>
      <c r="C3" t="s">
        <v>17</v>
      </c>
      <c r="D3" t="s">
        <v>18</v>
      </c>
      <c r="E3" s="2">
        <v>46021</v>
      </c>
      <c r="F3">
        <v>280</v>
      </c>
      <c r="G3">
        <v>3.2</v>
      </c>
      <c r="H3">
        <v>4.5</v>
      </c>
      <c r="I3" t="s">
        <v>19</v>
      </c>
      <c r="J3" t="str">
        <f ca="1" t="shared" si="0"/>
        <v>InStock</v>
      </c>
    </row>
    <row r="4" spans="1:10">
      <c r="A4" t="s">
        <v>20</v>
      </c>
      <c r="B4" t="s">
        <v>21</v>
      </c>
      <c r="C4" t="s">
        <v>22</v>
      </c>
      <c r="D4" t="s">
        <v>23</v>
      </c>
      <c r="E4" s="2">
        <v>46091</v>
      </c>
      <c r="F4">
        <v>40</v>
      </c>
      <c r="G4">
        <v>8</v>
      </c>
      <c r="H4">
        <v>11</v>
      </c>
      <c r="I4" t="s">
        <v>24</v>
      </c>
      <c r="J4" t="str">
        <f ca="1" t="shared" si="0"/>
        <v>Low</v>
      </c>
    </row>
    <row r="5" spans="1:10">
      <c r="A5" t="s">
        <v>25</v>
      </c>
      <c r="B5" t="s">
        <v>26</v>
      </c>
      <c r="C5" t="s">
        <v>27</v>
      </c>
      <c r="D5" t="s">
        <v>28</v>
      </c>
      <c r="E5" s="2">
        <v>45981</v>
      </c>
      <c r="F5">
        <v>200</v>
      </c>
      <c r="G5">
        <v>6.5</v>
      </c>
      <c r="H5">
        <v>9</v>
      </c>
      <c r="I5" t="s">
        <v>14</v>
      </c>
      <c r="J5" t="str">
        <f ca="1" t="shared" si="0"/>
        <v>InStock</v>
      </c>
    </row>
    <row r="6" spans="1:10">
      <c r="A6" t="s">
        <v>29</v>
      </c>
      <c r="B6" t="s">
        <v>30</v>
      </c>
      <c r="C6" t="s">
        <v>12</v>
      </c>
      <c r="D6" t="s">
        <v>31</v>
      </c>
      <c r="E6" s="2">
        <v>46027</v>
      </c>
      <c r="F6">
        <v>50</v>
      </c>
      <c r="G6">
        <v>14</v>
      </c>
      <c r="H6">
        <v>18.5</v>
      </c>
      <c r="I6" t="s">
        <v>19</v>
      </c>
      <c r="J6" t="str">
        <f ca="1" t="shared" si="0"/>
        <v>Low</v>
      </c>
    </row>
    <row r="7" spans="1:10">
      <c r="A7" t="s">
        <v>32</v>
      </c>
      <c r="B7" t="s">
        <v>33</v>
      </c>
      <c r="C7" t="s">
        <v>34</v>
      </c>
      <c r="D7" t="s">
        <v>18</v>
      </c>
      <c r="E7" s="2">
        <v>46191</v>
      </c>
      <c r="F7">
        <v>120</v>
      </c>
      <c r="G7">
        <v>4</v>
      </c>
      <c r="H7">
        <v>6.5</v>
      </c>
      <c r="I7" t="s">
        <v>24</v>
      </c>
      <c r="J7" t="str">
        <f ca="1" t="shared" si="0"/>
        <v>Low</v>
      </c>
    </row>
    <row r="8" spans="1:10">
      <c r="A8" t="s">
        <v>39</v>
      </c>
      <c r="B8" t="s">
        <v>40</v>
      </c>
      <c r="C8" t="s">
        <v>12</v>
      </c>
      <c r="D8" t="s">
        <v>13</v>
      </c>
      <c r="E8" s="2">
        <v>46081</v>
      </c>
      <c r="F8">
        <v>500</v>
      </c>
      <c r="G8">
        <v>11</v>
      </c>
      <c r="H8">
        <v>15.5</v>
      </c>
      <c r="I8" t="s">
        <v>19</v>
      </c>
      <c r="J8" t="str">
        <f ca="1" t="shared" si="0"/>
        <v>InStock</v>
      </c>
    </row>
    <row r="9" spans="1:10">
      <c r="A9" t="s">
        <v>41</v>
      </c>
      <c r="B9" t="s">
        <v>42</v>
      </c>
      <c r="C9" t="s">
        <v>17</v>
      </c>
      <c r="D9" t="s">
        <v>43</v>
      </c>
      <c r="E9" s="2">
        <v>46225</v>
      </c>
      <c r="F9">
        <v>250</v>
      </c>
      <c r="G9">
        <v>5.5</v>
      </c>
      <c r="H9">
        <v>7.5</v>
      </c>
      <c r="I9" t="s">
        <v>24</v>
      </c>
      <c r="J9" t="str">
        <f ca="1" t="shared" si="0"/>
        <v>InStock</v>
      </c>
    </row>
    <row r="10" spans="1:10">
      <c r="A10" t="s">
        <v>44</v>
      </c>
      <c r="B10" t="s">
        <v>45</v>
      </c>
      <c r="C10" t="s">
        <v>27</v>
      </c>
      <c r="D10" t="s">
        <v>46</v>
      </c>
      <c r="E10" s="2">
        <v>45945</v>
      </c>
      <c r="F10">
        <v>180</v>
      </c>
      <c r="G10">
        <v>3.8</v>
      </c>
      <c r="H10">
        <v>5.2</v>
      </c>
      <c r="I10" t="s">
        <v>14</v>
      </c>
      <c r="J10" t="str">
        <f ca="1" t="shared" si="0"/>
        <v>InStock</v>
      </c>
    </row>
    <row r="11" spans="1:10">
      <c r="A11" t="s">
        <v>47</v>
      </c>
      <c r="B11" t="s">
        <v>48</v>
      </c>
      <c r="C11" t="s">
        <v>37</v>
      </c>
      <c r="D11" t="s">
        <v>38</v>
      </c>
      <c r="E11" s="2">
        <v>46122</v>
      </c>
      <c r="F11">
        <v>100</v>
      </c>
      <c r="G11">
        <v>10</v>
      </c>
      <c r="H11">
        <v>13</v>
      </c>
      <c r="I11" t="s">
        <v>14</v>
      </c>
      <c r="J11" t="str">
        <f ca="1" t="shared" si="0"/>
        <v>Low</v>
      </c>
    </row>
  </sheetData>
  <pageMargins left="0.75" right="0.75" top="1" bottom="1" header="0.5" footer="0.5"/>
  <headerFooter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DataMashup xmlns="http://schemas.microsoft.com/DataMashup">AAAAANEEAABQSwMECgAAAAAAh07iQAAAAAAAAAAAAAAAAAcAAABDb25maWcvUEsDBBQAAAAIAIdO4kASOP6YnwAAAPMAAAASAAAAQ29uZmlnL1BhY2thZ2UueG1shY9NC4IwHMa/iuzuNmdRyN958JoRBNF1zDVHOsPNJn36jDK6dXtefofngWLq2uiuBmd6m6MEUxQpK/vaWJ2j0V/iLSo4HIS8Cq2iGbYum1ydo8b7W0ZICAGHFPeDJozShJyr3VE2qhPoC5v/cGys88JKhTic3mM4w8lqg9N1iimQJYTK2EUzzOa9r/YnhHJs/Tgo/mjicg9ksUA+H/gTUEsDBAoAAAAAAIdO4kAAAAAAAAAAAAAAAAAJAAAARm9ybXVsYXMvUEsDBBQAAAAIAIdO4kCtPay6cwEAAK8EAAATAAAARm9ybXVsYXMvU2VjdGlvbjEube2Sz0rDQBCH74G8wxIvLYSCIF6kF4MHQby04KEUSdvVlia7stlAJfRQ+sfSt/BitNqGWj30TWbfxknS1kpz8ybmEsh8+ea3s+PRumxxRkrp+/BE13TNa9qCNkj59OIaQjWAKcwgUhN4JUXiUKlrBJ8S90Wd4pezTp06BcsXgjJ5xUW7xnk7lw8ql7ZLi8a+xah2KxZnEvGqmcoODKtps9u46f0dNdBatmsOLZSFzbwbLlyLO77L4qKXSzubQWCovhpDRJKQn2qkeoZJJDJE0o7smiQwIISlGqZEhHAIjxkMnvEDFqoPLwmphoA2WMFLJqt68LQmYYW/hvCGw8lgp1haYGme9g/ROVUPuxkatqSy5dJ1VjXAEw1j2SZHrJgl7nMmj48K8QRSeIn5FqkYs+9Kme/WqNijntG72hxol8ErxqZjlESb8vf8Zslwt3nm8K7GavSD6+Z1rcUyLzJznfBKMO5STX61TlvL/zptV/rPr9MXUEsDBBQAAAAIAIdO4kB/v9PKnQAAAOQAAAATAAAAW0NvbnRlbnRfVHlwZXNdLnhtbG2PSw7CMAxErxJ5n7qwQAg17aJwAy4QBfcjmo8aF4Xbk9AdYunxPM+46ZJdxIvWOHun4FDVIMgZ/5jdqGDjQZ6ha5v7O1AU2eqigok5XBCjmcjqWPlALm8Gv1rNeVxHDNo89Uh4rOsTGu+YHEsuN6BtrjTobWFxS1neYzMOot99JUoBU2IsMv4F7I9dh7DMRnN+ApO0UdoC4rd2+wFQSwECFAAUAAAACACHTuJAf7/Typ0AAADkAAAAEwAAAAAAAAABACAAAAC/AgAAW0NvbnRlbnRfVHlwZXNdLnhtbFBLAQIUAAoAAAAAAIdO4kAAAAAAAAAAAAAAAAAHAAAAAAAAAAAAEAAAAAAAAABDb25maWcvUEsBAhQAFAAAAAgAh07iQBI4/pifAAAA8wAAABIAAAAAAAAAAQAgAAAAJQAAAENvbmZpZy9QYWNrYWdlLnhtbFBLAQIUAAoAAAAAAIdO4kAAAAAAAAAAAAAAAAAJAAAAAAAAAAAAEAAAAPQAAABGb3JtdWxhcy9QSwECFAAUAAAACACHTuJArT2sunMBAACvBAAAEwAAAAAAAAABACAAAAAbAQAARm9ybXVsYXMvU2VjdGlvbjEubVBLBQYAAAAABQAFAC4BAACNAwAAAAAOAQAAPD94bWwgdmVyc2lvbj0iMS4wIiBlbmNvZGluZz0idXRmLTgiID8+PFBlcm1pc3Npb25MaXN0IHhtbG5zOnhzZD0iaHR0cDovL3d3dy53My5vcmcvMjAwMS9YTUxTY2hlbWEiIHhtbG5zOnhzaT0iaHR0cDovL3d3dy53My5vcmcvMjAwMS9YTUxTY2hlbWEtaW5zdGFuY2UiPjxDYW5FdmFsdWF0ZUZ1dHVyZVBhY2thZ2VzPmZhbHNlPC9DYW5FdmFsdWF0ZUZ1dHVyZVBhY2thZ2VzPjxGaXJld2FsbEVuYWJsZWQ+dHJ1ZTwvRmlyZXdhbGxFbmFibGVkPjwvUGVybWlzc2lvbkxpc3Q+BwYAAAAAAADlBQAAPD94bWwgdmVyc2lvbj0iMS4wIiBlbmNvZGluZz0idXRmLTgiID8+PExvY2FsUGFja2FnZU1ldGFkYXRhRmlsZSB4bWxuczp4c2Q9Imh0dHA6Ly93d3cudzMub3JnLzIwMDEvWE1MU2NoZW1hIiB4bWxuczp4c2k9Imh0dHA6Ly93d3cudzMub3JnLzIwMDEvWE1MU2NoZW1hLWluc3RhbmNlIj48SXRlbXM+PEl0ZW0+PEl0ZW1Mb2NhdGlvbj48SXRlbVR5cGU+QWxsRm9ybXVsYXM8L0l0ZW1UeXBlPjxJdGVtUGF0aCAvPjwvSXRlbUxvY2F0aW9uPjxTdGFibGVFbnRyaWVzPjxFbnRyeSBUeXBlPSJSZWxhdGlvbnNoaXBzIiBWYWx1ZT0ic0FBQUFBQT09IiAvPjwvU3RhYmxlRW50cmllcz48L0l0ZW0+PEl0ZW0+PEl0ZW1Mb2NhdGlvbj48SXRlbVR5cGU+Rm9ybXVsYTwvSXRlbVR5cGU+PEl0ZW1QYXRoPlNlY3Rpb24xL1RCTF8lRDglQTclRDklODQlRDglQUElRDglQUQlRDglQUYlRDklOEElRDglQUI8L0l0ZW1QYXRoPjwvSXRlbUxvY2F0aW9uPjxTdGFibGVFbnRyaWVzPjxFbnRyeSBUeXBlPSJJc1ByaXZhdGUiIFZhbHVlPSJsMCIgLz48RW50cnkgVHlwZT0iRmlsbEVuYWJsZWQiIFZhbHVlPSJsMCIgLz48RW50cnkgVHlwZT0iRmlsbE9iamVjdFR5cGUiIFZhbHVlPSJzQ29ubmVjdGlvbk9ubHkiIC8+PEVudHJ5IFR5cGU9IlF1ZXJ5SUQiIFZhbHVlPSJzNGVhNGExNjgtNTUzNC00ZDQ3LTk0MzQtZWM4YTJjMzFjZTA3IiAvPjxFbnRyeSBUeXBlPSJSZXN1bHRUeXBlIiBWYWx1ZT0ic1RhYmxlIiAvPjxFbnRyeSBUeXBlPSJGaWxsQ291bnQiIFZhbHVlPSJsMCIgLz48RW50cnkgVHlwZT0iRmlsbEVycm9yQ291bnQiIFZhbHVlPSJsMCIgLz48RW50cnkgVHlwZT0iRmlsbExhc3RVcGRhdGVkIiBWYWx1ZT0iZDIwMjYtMDktMjNUMTI6NTA6MjAuNDczMDAwMFoiIC8+PC9TdGFibGVFbnRyaWVzPjwvSXRlbT48SXRlbT48SXRlbUxvY2F0aW9uPjxJdGVtVHlwZT5Gb3JtdWxhPC9JdGVtVHlwZT48SXRlbVBhdGg+U2VjdGlvbjEvVEJMXyVEOCVBNyVEOSU4NCVEOCVBNyVEOCVCMyVEOCVBNyVEOCVCMyVEOSU4QTwvSXRlbVBhdGg+PC9JdGVtTG9jYXRpb24+PFN0YWJsZUVudHJpZXM+PEVudHJ5IFR5cGU9IklzUHJpdmF0ZSIgVmFsdWU9ImwwIiAvPjxFbnRyeSBUeXBlPSJGaWxsRW5hYmxlZCIgVmFsdWU9ImwwIiAvPjxFbnRyeSBUeXBlPSJGaWxsT2JqZWN0VHlwZSIgVmFsdWU9InNDb25uZWN0aW9uT25seSIgLz48RW50cnkgVHlwZT0iUXVlcnlJRCIgVmFsdWU9InNjMTc4ZTQ0Zi1lY2QwLTQwOTEtYThhYy03OTk3ZTA2MGRjOGYiIC8+PEVudHJ5IFR5cGU9IlJlc3VsdFR5cGUiIFZhbHVlPSJzVGFibGUiIC8+PEVudHJ5IFR5cGU9IkZpbGxDb3VudCIgVmFsdWU9ImwwIiAvPjxFbnRyeSBUeXBlPSJGaWxsRXJyb3JDb3VudCIgVmFsdWU9ImwwIiAvPjxFbnRyeSBUeXBlPSJGaWxsTGFzdFVwZGF0ZWQiIFZhbHVlPSJkMjAyNi0wOS0yM1QxMjo1MTowNC42NjcwMDAwWiIgLz48L1N0YWJsZUVudHJpZXM+PC9JdGVtPjwvSXRlbXM+PC9Mb2NhbFBhY2thZ2VNZXRhZGF0YUZpbGU+FgAAAFBLBQYAAAAAAAAAAAAAAAAAAAAAAAAmAQAAAQAAANCMnd8BFdERjHoAwE/Cl+sBAAAAxeIzlmtjmk6nh0lgOLe5fwAAAAACAAAAAAAQZgAAAAEAACAAAAASECSmLajwxoIrYfCQyu6HFB/Ho4r97V2Hz+s+oZErFwAAAAAOgAAAAAIAACAAAAAxWATIm9sJIKhJcmKJi30J1w8zJGxtmrYfzZAvqANWklAAAABxkPS6nCH26WHJfzyCMtfM5OxCcvDeUEkbdxka8JlwPxrKQg84f2paeyUKM5HfQ5319k4zDBl51gXyy91R0bUXCDgMN/DUoyquyIthOb2XNkAAAAAITlnrdycluEelPadE4UkQwc7G7qBCzU2cisjZ6vABR+q1g3kU2VcV08IMmOhRAfMF+TirJatKAq2rfR+Mi5k9</DataMashup>
</file>

<file path=customXml/itemProps1.xml><?xml version="1.0" encoding="utf-8"?>
<ds:datastoreItem xmlns:ds="http://schemas.openxmlformats.org/officeDocument/2006/customXml" ds:itemID="{62FDE8BA-7B51-4EB6-BDF7-2757EC469CD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الاساسي</vt:lpstr>
      <vt:lpstr>التحديث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elsol</dc:creator>
  <cp:lastModifiedBy>elsol</cp:lastModifiedBy>
  <dcterms:created xsi:type="dcterms:W3CDTF">2026-09-23T12:17:00Z</dcterms:created>
  <dcterms:modified xsi:type="dcterms:W3CDTF">2026-09-23T14:43:17Z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3D210D958098414C886690B851DFFE6C_11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1</vt:i4>
  </property>
</Properties>
</file>